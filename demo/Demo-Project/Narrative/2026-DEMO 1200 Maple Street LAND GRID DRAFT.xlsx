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Land Sale Grid" sheetId="1" state="visible" r:id="rId1"/>
    <sheet xmlns:r="http://schemas.openxmlformats.org/officeDocument/2006/relationships" name="Sorte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MM/DD/YYYY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10" fontId="2" fillId="0" borderId="1" pivotButton="0" quotePrefix="0" xfId="0"/>
    <xf numFmtId="4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/>
      <c r="B1" s="1" t="inlineStr">
        <is>
          <t>SUBJECT</t>
        </is>
      </c>
      <c r="C1" s="1" t="inlineStr">
        <is>
          <t>SALE 1</t>
        </is>
      </c>
      <c r="D1" s="1" t="inlineStr">
        <is>
          <t>SALE 2</t>
        </is>
      </c>
      <c r="E1" s="1" t="inlineStr">
        <is>
          <t>SALE 3</t>
        </is>
      </c>
      <c r="F1" s="1" t="inlineStr">
        <is>
          <t>SALE 4</t>
        </is>
      </c>
    </row>
    <row r="2">
      <c r="A2" s="2" t="inlineStr">
        <is>
          <t>Sale Price</t>
        </is>
      </c>
      <c r="B2" s="2" t="inlineStr">
        <is>
          <t>N/A</t>
        </is>
      </c>
      <c r="C2" s="3" t="n">
        <v>600000</v>
      </c>
      <c r="D2" s="3" t="n">
        <v>1200000</v>
      </c>
      <c r="E2" s="3" t="n">
        <v>500000</v>
      </c>
      <c r="F2" s="3" t="n">
        <v>750000</v>
      </c>
    </row>
    <row r="3">
      <c r="A3" s="2" t="inlineStr">
        <is>
          <t>Real Property Rights</t>
        </is>
      </c>
      <c r="B3" s="2" t="inlineStr">
        <is>
          <t>Fee Simple</t>
        </is>
      </c>
      <c r="C3" s="2" t="inlineStr">
        <is>
          <t>Fee Simple</t>
        </is>
      </c>
      <c r="D3" s="2" t="inlineStr">
        <is>
          <t>Fee Simple</t>
        </is>
      </c>
      <c r="E3" s="2" t="inlineStr">
        <is>
          <t>Fee Simple</t>
        </is>
      </c>
      <c r="F3" s="2" t="inlineStr">
        <is>
          <t>Fee Simple</t>
        </is>
      </c>
    </row>
    <row r="4">
      <c r="A4" s="2" t="inlineStr">
        <is>
          <t>Adjustment</t>
        </is>
      </c>
      <c r="B4" s="2" t="n"/>
      <c r="C4" s="4" t="n">
        <v>0</v>
      </c>
      <c r="D4" s="4" t="n">
        <v>0</v>
      </c>
      <c r="E4" s="4" t="n">
        <v>0</v>
      </c>
      <c r="F4" s="4" t="n">
        <v>0</v>
      </c>
    </row>
    <row r="5">
      <c r="A5" s="2" t="inlineStr">
        <is>
          <t>Adjusted Price</t>
        </is>
      </c>
      <c r="B5" s="2" t="n"/>
      <c r="C5" s="3">
        <f>C2*(1+C4)</f>
        <v/>
      </c>
      <c r="D5" s="3">
        <f>D2*(1+D4)</f>
        <v/>
      </c>
      <c r="E5" s="3">
        <f>E2*(1+E4)</f>
        <v/>
      </c>
      <c r="F5" s="3">
        <f>F2*(1+F4)</f>
        <v/>
      </c>
    </row>
    <row r="6">
      <c r="A6" s="2" t="inlineStr">
        <is>
          <t>Financing Terms</t>
        </is>
      </c>
      <c r="B6" s="2" t="n"/>
      <c r="C6" s="2" t="n"/>
      <c r="D6" s="2" t="n"/>
      <c r="E6" s="2" t="n"/>
      <c r="F6" s="2" t="n"/>
    </row>
    <row r="7">
      <c r="A7" s="2" t="inlineStr">
        <is>
          <t>Type</t>
        </is>
      </c>
      <c r="B7" s="2" t="inlineStr">
        <is>
          <t>Assumes Cash Equivalent</t>
        </is>
      </c>
      <c r="C7" s="2" t="inlineStr">
        <is>
          <t>Cash Equivalent</t>
        </is>
      </c>
      <c r="D7" s="2" t="inlineStr">
        <is>
          <t>Cash Equivalent</t>
        </is>
      </c>
      <c r="E7" s="2" t="inlineStr">
        <is>
          <t>Cash Equivalent</t>
        </is>
      </c>
      <c r="F7" s="2" t="inlineStr">
        <is>
          <t>Cash Equivalent</t>
        </is>
      </c>
    </row>
    <row r="8">
      <c r="A8" s="2" t="inlineStr">
        <is>
          <t>Adjustment</t>
        </is>
      </c>
      <c r="B8" s="2" t="n"/>
      <c r="C8" s="4" t="n">
        <v>0</v>
      </c>
      <c r="D8" s="4" t="n">
        <v>0</v>
      </c>
      <c r="E8" s="4" t="n">
        <v>0</v>
      </c>
      <c r="F8" s="4" t="n">
        <v>0</v>
      </c>
    </row>
    <row r="9">
      <c r="A9" s="2" t="inlineStr">
        <is>
          <t>Adj. Gross %</t>
        </is>
      </c>
      <c r="B9" s="2" t="n"/>
      <c r="C9" s="4">
        <f>C4+C8</f>
        <v/>
      </c>
      <c r="D9" s="4">
        <f>D4+D8</f>
        <v/>
      </c>
      <c r="E9" s="4">
        <f>E4+E8</f>
        <v/>
      </c>
      <c r="F9" s="4">
        <f>F4+F8</f>
        <v/>
      </c>
    </row>
    <row r="10">
      <c r="A10" s="2" t="inlineStr">
        <is>
          <t>Conditions of Sale</t>
        </is>
      </c>
      <c r="B10" s="2" t="n"/>
      <c r="C10" s="2" t="n"/>
      <c r="D10" s="2" t="n"/>
      <c r="E10" s="2" t="n"/>
      <c r="F10" s="2" t="n"/>
    </row>
    <row r="11">
      <c r="A11" s="2" t="inlineStr">
        <is>
          <t>Type</t>
        </is>
      </c>
      <c r="B11" s="2" t="inlineStr">
        <is>
          <t>Assumes Market</t>
        </is>
      </c>
      <c r="C11" s="2" t="inlineStr">
        <is>
          <t>Market</t>
        </is>
      </c>
      <c r="D11" s="2" t="inlineStr">
        <is>
          <t>Market</t>
        </is>
      </c>
      <c r="E11" s="2" t="inlineStr">
        <is>
          <t>Market</t>
        </is>
      </c>
      <c r="F11" s="2" t="inlineStr">
        <is>
          <t>Market</t>
        </is>
      </c>
    </row>
    <row r="12">
      <c r="A12" s="2" t="inlineStr">
        <is>
          <t>Adjustment</t>
        </is>
      </c>
      <c r="B12" s="2" t="n"/>
      <c r="C12" s="4" t="n">
        <v>0</v>
      </c>
      <c r="D12" s="4" t="n">
        <v>0</v>
      </c>
      <c r="E12" s="4" t="n">
        <v>0</v>
      </c>
      <c r="F12" s="4" t="n">
        <v>0</v>
      </c>
    </row>
    <row r="13">
      <c r="A13" s="2" t="inlineStr">
        <is>
          <t>Cap Rate Adj</t>
        </is>
      </c>
      <c r="B13" s="2" t="n"/>
      <c r="C13" s="3">
        <f>C5*(1+C12)</f>
        <v/>
      </c>
      <c r="D13" s="3">
        <f>D5*(1+D12)</f>
        <v/>
      </c>
      <c r="E13" s="3">
        <f>E5*(1+E12)</f>
        <v/>
      </c>
      <c r="F13" s="3">
        <f>F5*(1+F12)</f>
        <v/>
      </c>
    </row>
    <row r="14">
      <c r="A14" s="2" t="inlineStr">
        <is>
          <t>Post-Sale Expenditures</t>
        </is>
      </c>
      <c r="B14" s="2" t="n"/>
      <c r="C14" s="2" t="n"/>
      <c r="D14" s="2" t="n"/>
      <c r="E14" s="2" t="n"/>
      <c r="F14" s="2" t="n"/>
    </row>
    <row r="15">
      <c r="A15" s="2" t="inlineStr">
        <is>
          <t>Type</t>
        </is>
      </c>
      <c r="B15" s="2" t="inlineStr">
        <is>
          <t>Assumes None</t>
        </is>
      </c>
      <c r="C15" s="2" t="inlineStr">
        <is>
          <t>None known</t>
        </is>
      </c>
      <c r="D15" s="2" t="inlineStr">
        <is>
          <t>None known</t>
        </is>
      </c>
      <c r="E15" s="2" t="inlineStr">
        <is>
          <t>None known</t>
        </is>
      </c>
      <c r="F15" s="2" t="inlineStr">
        <is>
          <t>None known</t>
        </is>
      </c>
    </row>
    <row r="16">
      <c r="A16" s="2" t="inlineStr">
        <is>
          <t>Adjustment</t>
        </is>
      </c>
      <c r="B16" s="2" t="n"/>
      <c r="C16" s="3" t="n">
        <v>0</v>
      </c>
      <c r="D16" s="3" t="n">
        <v>0</v>
      </c>
      <c r="E16" s="3" t="n">
        <v>0</v>
      </c>
      <c r="F16" s="3" t="n">
        <v>0</v>
      </c>
    </row>
    <row r="17">
      <c r="A17" s="2" t="inlineStr">
        <is>
          <t>$/SF at Sale</t>
        </is>
      </c>
      <c r="B17" s="2" t="n"/>
      <c r="C17" s="5">
        <f>(C13+C16)/C25</f>
        <v/>
      </c>
      <c r="D17" s="5">
        <f>(D13+D16)/D25</f>
        <v/>
      </c>
      <c r="E17" s="5">
        <f>(E13+E16)/E25</f>
        <v/>
      </c>
      <c r="F17" s="5">
        <f>(F13+F16)/F25</f>
        <v/>
      </c>
    </row>
    <row r="18">
      <c r="A18" s="2" t="inlineStr">
        <is>
          <t>Market Conditions</t>
        </is>
      </c>
      <c r="B18" s="2" t="n"/>
      <c r="C18" s="2" t="n"/>
      <c r="D18" s="2" t="n"/>
      <c r="E18" s="2" t="n"/>
      <c r="F18" s="2" t="n"/>
    </row>
    <row r="19">
      <c r="A19" s="2" t="inlineStr">
        <is>
          <t>Date Adjustment</t>
        </is>
      </c>
      <c r="B19" s="2" t="n"/>
      <c r="C19" s="8" t="n">
        <v>0.0005999999999999999</v>
      </c>
      <c r="D19" s="8" t="n">
        <v>0.0005999999999999999</v>
      </c>
      <c r="E19" s="8" t="n">
        <v>0.0005999999999999999</v>
      </c>
      <c r="F19" s="8" t="n">
        <v>0.0005999999999999999</v>
      </c>
    </row>
    <row r="20">
      <c r="A20" s="2" t="inlineStr">
        <is>
          <t>Time Period</t>
        </is>
      </c>
      <c r="B20" s="2" t="n"/>
      <c r="C20" s="2" t="n"/>
      <c r="D20" s="2" t="n"/>
      <c r="E20" s="2" t="n"/>
      <c r="F20" s="2" t="n"/>
    </row>
    <row r="21">
      <c r="A21" s="2" t="inlineStr">
        <is>
          <t>Sale Date</t>
        </is>
      </c>
      <c r="B21" s="7" t="n">
        <v>46037</v>
      </c>
      <c r="C21" s="7" t="n">
        <v>45731</v>
      </c>
      <c r="D21" s="7" t="n">
        <v>45495</v>
      </c>
      <c r="E21" s="7" t="n">
        <v>45604</v>
      </c>
      <c r="F21" s="7" t="n">
        <v>45780</v>
      </c>
    </row>
    <row r="22">
      <c r="A22" s="2" t="inlineStr">
        <is>
          <t>$/SF Time Adj</t>
        </is>
      </c>
      <c r="B22" s="2" t="n"/>
      <c r="C22" s="5">
        <f>C17*(1+C19*((B$21-C21)/30.42))</f>
        <v/>
      </c>
      <c r="D22" s="5">
        <f>D17*(1+D19*((B$21-D21)/30.42))</f>
        <v/>
      </c>
      <c r="E22" s="5">
        <f>E17*(1+E19*((B$21-E21)/30.42))</f>
        <v/>
      </c>
      <c r="F22" s="5">
        <f>F17*(1+F19*((B$21-F21)/30.42))</f>
        <v/>
      </c>
    </row>
    <row r="23">
      <c r="A23" s="2" t="inlineStr">
        <is>
          <t>$/SF Final</t>
        </is>
      </c>
      <c r="B23" s="2" t="n"/>
      <c r="C23" s="5">
        <f>C22</f>
        <v/>
      </c>
      <c r="D23" s="5">
        <f>D22</f>
        <v/>
      </c>
      <c r="E23" s="5">
        <f>E22</f>
        <v/>
      </c>
      <c r="F23" s="5">
        <f>F22</f>
        <v/>
      </c>
    </row>
    <row r="24">
      <c r="A24" s="2" t="inlineStr">
        <is>
          <t>Physical Characteristics</t>
        </is>
      </c>
      <c r="B24" s="2" t="n"/>
      <c r="C24" s="2" t="n"/>
      <c r="D24" s="2" t="n"/>
      <c r="E24" s="2" t="n"/>
      <c r="F24" s="2" t="n"/>
    </row>
    <row r="25">
      <c r="A25" s="2" t="inlineStr">
        <is>
          <t>Land SF</t>
        </is>
      </c>
      <c r="B25" s="3" t="n">
        <v>25000</v>
      </c>
      <c r="C25" s="3" t="n">
        <v>12000</v>
      </c>
      <c r="D25" s="3" t="n">
        <v>28000</v>
      </c>
      <c r="E25" s="3" t="n">
        <v>10500</v>
      </c>
      <c r="F25" s="3" t="n">
        <v>15000</v>
      </c>
    </row>
    <row r="26">
      <c r="A26" s="2" t="inlineStr">
        <is>
          <t>Land Value</t>
        </is>
      </c>
      <c r="B26" s="2" t="n"/>
      <c r="C26" s="3">
        <f>C23*C25</f>
        <v/>
      </c>
      <c r="D26" s="3">
        <f>D23*D25</f>
        <v/>
      </c>
      <c r="E26" s="3">
        <f>E23*E25</f>
        <v/>
      </c>
      <c r="F26" s="3">
        <f>F23*F25</f>
        <v/>
      </c>
    </row>
    <row r="27">
      <c r="A27" s="2" t="inlineStr"/>
      <c r="B27" s="2" t="n"/>
      <c r="C27" s="2" t="n"/>
      <c r="D27" s="2" t="n"/>
      <c r="E27" s="2" t="n"/>
      <c r="F27" s="2" t="n"/>
    </row>
    <row r="28">
      <c r="A28" s="2" t="inlineStr">
        <is>
          <t>Location</t>
        </is>
      </c>
      <c r="B28" s="2" t="inlineStr">
        <is>
          <t>1200 Maple Street, Centerville</t>
        </is>
      </c>
      <c r="C28" s="2" t="inlineStr">
        <is>
          <t>800 Oak Avenue, Centerville</t>
        </is>
      </c>
      <c r="D28" s="2" t="inlineStr">
        <is>
          <t>2450 Pine Road, Westfield</t>
        </is>
      </c>
      <c r="E28" s="2" t="inlineStr">
        <is>
          <t>550 Cedar Boulevard, Centerville</t>
        </is>
      </c>
      <c r="F28" s="2" t="inlineStr">
        <is>
          <t>1800 Birch Lane, Eastview</t>
        </is>
      </c>
    </row>
    <row r="29">
      <c r="A29" s="2" t="inlineStr">
        <is>
          <t>Location Adj %</t>
        </is>
      </c>
      <c r="B29" s="2" t="inlineStr">
        <is>
          <t>N/A</t>
        </is>
      </c>
      <c r="C29" s="4" t="n">
        <v>0</v>
      </c>
      <c r="D29" s="4" t="n">
        <v>0</v>
      </c>
      <c r="E29" s="4" t="n">
        <v>0</v>
      </c>
      <c r="F29" s="4" t="n">
        <v>0</v>
      </c>
    </row>
    <row r="30">
      <c r="A30" s="2" t="inlineStr"/>
      <c r="B30" s="2" t="n"/>
      <c r="C30" s="2" t="n"/>
      <c r="D30" s="2" t="n"/>
      <c r="E30" s="2" t="n"/>
      <c r="F30" s="2" t="n"/>
    </row>
    <row r="31">
      <c r="A31" s="2" t="inlineStr">
        <is>
          <t>Zoning</t>
        </is>
      </c>
      <c r="B31" s="2" t="inlineStr">
        <is>
          <t>C-2: General Commercial</t>
        </is>
      </c>
      <c r="C31" s="2" t="inlineStr">
        <is>
          <t>C-2</t>
        </is>
      </c>
      <c r="D31" s="2" t="inlineStr">
        <is>
          <t>C-3</t>
        </is>
      </c>
      <c r="E31" s="2" t="inlineStr">
        <is>
          <t>C-1</t>
        </is>
      </c>
      <c r="F31" s="2" t="inlineStr">
        <is>
          <t>C-2</t>
        </is>
      </c>
    </row>
    <row r="32">
      <c r="A32" s="2" t="inlineStr">
        <is>
          <t>Zoning Adj %</t>
        </is>
      </c>
      <c r="B32" s="2" t="n"/>
      <c r="C32" s="4" t="n">
        <v>0</v>
      </c>
      <c r="D32" s="4" t="n">
        <v>0</v>
      </c>
      <c r="E32" s="4" t="n">
        <v>0</v>
      </c>
      <c r="F32" s="4" t="n">
        <v>0</v>
      </c>
    </row>
    <row r="33">
      <c r="A33" s="2" t="inlineStr"/>
      <c r="B33" s="2" t="n"/>
      <c r="C33" s="2" t="n"/>
      <c r="D33" s="2" t="n"/>
      <c r="E33" s="2" t="n"/>
      <c r="F33" s="2" t="n"/>
    </row>
    <row r="34">
      <c r="A34" s="2" t="inlineStr">
        <is>
          <t>Flood Zone</t>
        </is>
      </c>
      <c r="B34" s="2" t="inlineStr">
        <is>
          <t>Zone X (unshaded)</t>
        </is>
      </c>
      <c r="C34" s="2" t="inlineStr">
        <is>
          <t>Zone X</t>
        </is>
      </c>
      <c r="D34" s="2" t="inlineStr">
        <is>
          <t>40% in 100-year floodplain</t>
        </is>
      </c>
      <c r="E34" s="2" t="inlineStr">
        <is>
          <t>Zone X</t>
        </is>
      </c>
      <c r="F34" s="2" t="inlineStr">
        <is>
          <t>Zone X</t>
        </is>
      </c>
    </row>
    <row r="35">
      <c r="A35" s="2" t="inlineStr">
        <is>
          <t>Flood Adj %</t>
        </is>
      </c>
      <c r="B35" s="2" t="inlineStr">
        <is>
          <t>—</t>
        </is>
      </c>
      <c r="C35" s="4" t="n">
        <v>0</v>
      </c>
      <c r="D35" s="4" t="n">
        <v>0</v>
      </c>
      <c r="E35" s="4" t="n">
        <v>0</v>
      </c>
      <c r="F35" s="4" t="n">
        <v>0</v>
      </c>
    </row>
    <row r="36">
      <c r="A36" s="2" t="inlineStr"/>
      <c r="B36" s="2" t="n"/>
      <c r="C36" s="2" t="n"/>
      <c r="D36" s="2" t="n"/>
      <c r="E36" s="2" t="n"/>
      <c r="F36" s="2" t="n"/>
    </row>
    <row r="37">
      <c r="A37" s="2" t="inlineStr">
        <is>
          <t>Land SF</t>
        </is>
      </c>
      <c r="B37" s="3" t="n">
        <v>25000</v>
      </c>
      <c r="C37" s="3" t="n">
        <v>12000</v>
      </c>
      <c r="D37" s="3" t="n">
        <v>28000</v>
      </c>
      <c r="E37" s="3" t="n">
        <v>10500</v>
      </c>
      <c r="F37" s="3" t="n">
        <v>15000</v>
      </c>
    </row>
    <row r="38">
      <c r="A38" s="2" t="inlineStr">
        <is>
          <t>Size Adj %</t>
        </is>
      </c>
      <c r="B38" s="2" t="inlineStr">
        <is>
          <t>N/A</t>
        </is>
      </c>
      <c r="C38" s="4" t="n">
        <v>0</v>
      </c>
      <c r="D38" s="4" t="n">
        <v>0</v>
      </c>
      <c r="E38" s="4" t="n">
        <v>0</v>
      </c>
      <c r="F38" s="4" t="n">
        <v>0</v>
      </c>
    </row>
    <row r="39">
      <c r="A39" s="2" t="inlineStr"/>
      <c r="B39" s="2" t="n"/>
      <c r="C39" s="2" t="n"/>
      <c r="D39" s="2" t="n"/>
      <c r="E39" s="2" t="n"/>
      <c r="F39" s="2" t="n"/>
    </row>
    <row r="40">
      <c r="A40" s="2" t="inlineStr">
        <is>
          <t>Net Physical Adj</t>
        </is>
      </c>
      <c r="B40" s="2" t="n"/>
      <c r="C40" s="4">
        <f>C29+C32+C35+C38</f>
        <v/>
      </c>
      <c r="D40" s="4">
        <f>D29+D32+D35+D38</f>
        <v/>
      </c>
      <c r="E40" s="4">
        <f>E29+E32+E35+E38</f>
        <v/>
      </c>
      <c r="F40" s="4">
        <f>F29+F32+F35+F38</f>
        <v/>
      </c>
    </row>
    <row r="41">
      <c r="A41" s="2" t="inlineStr">
        <is>
          <t>Adjusted $/SF</t>
        </is>
      </c>
      <c r="B41" s="2" t="n"/>
      <c r="C41" s="5">
        <f>C23*(1+C40)</f>
        <v/>
      </c>
      <c r="D41" s="5">
        <f>D23*(1+D40)</f>
        <v/>
      </c>
      <c r="E41" s="5">
        <f>E23*(1+E40)</f>
        <v/>
      </c>
      <c r="F41" s="5">
        <f>F23*(1+F40)</f>
        <v/>
      </c>
    </row>
    <row r="44">
      <c r="B44" s="9" t="n">
        <v>46037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contains a sorted summary of the land sales.</t>
        </is>
      </c>
    </row>
    <row r="2">
      <c r="A2" t="inlineStr">
        <is>
          <t>It references the Original Land Sale Grid sheet.</t>
        </is>
      </c>
    </row>
    <row r="3">
      <c r="A3" t="inlineStr">
        <is>
          <t>Do not modify this sheet directly.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2026-02-01T00:20:11Z</dcterms:created>
  <dcterms:modified xmlns:dcterms="http://purl.org/dc/terms/" xmlns:xsi="http://www.w3.org/2001/XMLSchema-instance" xsi:type="dcterms:W3CDTF">2026-02-01T14:44:34Z</dcterms:modified>
</cp:coreProperties>
</file>